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Meta" state="visible" r:id="rId5"/>
    <sheet sheetId="3" name="Zones" state="visible" r:id="rId6"/>
    <sheet sheetId="4" name="D1" state="visible" r:id="rId7"/>
    <sheet sheetId="5" name="D2" state="visible" r:id="rId8"/>
    <sheet sheetId="6" name="D3" state="visible" r:id="rId9"/>
    <sheet sheetId="7" name="D4" state="visible" r:id="rId10"/>
    <sheet sheetId="8" name="EXP_1000" state="visible" r:id="rId11"/>
    <sheet sheetId="9" name="Surcharges" state="visible" r:id="rId12"/>
  </sheets>
  <calcPr calcId="171027"/>
</workbook>
</file>

<file path=xl/sharedStrings.xml><?xml version="1.0" encoding="utf-8"?>
<sst xmlns="http://schemas.openxmlformats.org/spreadsheetml/2006/main" count="329" uniqueCount="134">
  <si>
    <t>Trucking tariff: Standard LTL (EXAMPLE, not real prices)</t>
  </si>
  <si>
    <t>How to fill in this tariff file</t>
  </si>
  <si>
    <t/>
  </si>
  <si>
    <t>Upload the filled file in Trucking → Tariffs → (the tariff) → Upload file. Every upload makes a new DRAFT version:</t>
  </si>
  <si>
    <t>you see every problem with its sheet, row and column, the changes against the active version and test prices</t>
  </si>
  <si>
    <t>before anything is activated. Nothing changes for quotes until you activate the draft.</t>
  </si>
  <si>
    <t>Sheet Meta</t>
  </si>
  <si>
    <t>Valid from: a date (2026-11-01, 1. 11. 2026 or an Excel date). Valid to: empty = open-ended.</t>
  </si>
  <si>
    <t>kg per LDM, kg per m³, kg per pallet place: the chargeable weight factors (empty = the Trucking settings).</t>
  </si>
  <si>
    <t>Weight step kg: chargeable weight is rounded up to it (1 = whole kg). Money step: each price line is rounded to it (0.01 or 1).</t>
  </si>
  <si>
    <t>The grey rows (tariff, side, owner…) are for information only and are not read back.</t>
  </si>
  <si>
    <t>Sheet Zones</t>
  </si>
  <si>
    <t>One row per zone: Zone code | Label | PSČ from | PSČ to | Remote. Postcodes as 110 00, 11000 or the number 11000.</t>
  </si>
  <si>
    <t>Ranges may nest: the narrowest range wins (e.g. a remote sub-zone inside a region). They must not cross.</t>
  </si>
  <si>
    <t>Remote = Y adds the REMOTE_AREA surcharge in that zone (Y / N / Ano / Ne, empty = N).</t>
  </si>
  <si>
    <t>Price sheets (one per service level)</t>
  </si>
  <si>
    <t>Named exactly D1, D2, D3, D4, EXP_SAMEDAY, EXP_1000, EXP_1200 or EXP_FIXED. No sheet = the level is not offered.</t>
  </si>
  <si>
    <t>To add a level, copy a sheet and rename it; to stop offering one, delete its sheet.</t>
  </si>
  <si>
    <t>Row 3 is the header: Basis | From (excl.) | To (incl.) | Price type | one column per zone code (as on Zones).</t>
  </si>
  <si>
    <t>Each row below is a band: more than From, up to and including To. Leave To empty in the top band (open-ended).</t>
  </si>
  <si>
    <t>Basis: KG (chargeable weight), PALLET (pallet places), LDM (loading metres) or TRIP (one price per trip).</t>
  </si>
  <si>
    <t>Price type: FLAT = the price of the shipment; PER_UNIT = per kg / pallet / LDM; PER_100KG = per started 100 kg.</t>
  </si>
  <si>
    <t>An empty cell means no price for that zone and band. The row with Basis MIN holds the minimum charge per zone.</t>
  </si>
  <si>
    <t>A band is the same band on every sheet: use the same From / To on all sheets of one basis.</t>
  </si>
  <si>
    <t>Sheet Surcharges</t>
  </si>
  <si>
    <t>Code | Calculation | Value | Minimum | On freight + surcharges (Y = the % is taken of freight and the other surcharges).</t>
  </si>
  <si>
    <t>Codes: FUEL, TOLL (always charged); ADR, TAIL_LIFT, AVIZACE, TIME_WINDOW, B2C, NON_STACKABLE, WAITING_TIME, INSURANCE</t>
  </si>
  <si>
    <t>(only when the shipment asks for it); REMOTE_AREA (remote zones); REDELIVERY (charged when it happens).</t>
  </si>
  <si>
    <t>Calculation: PCT (% of freight), FLAT (an amount), PER_KG, PER_PALLET, PER_HOUR (waiting), PCT_OF_VALUE (% of the</t>
  </si>
  <si>
    <t>declared value, insurance), FUEL_INDEX (the month's % from the fuel index; Value is not used).</t>
  </si>
  <si>
    <t>Minimum: the least the surcharge charges (empty = none).</t>
  </si>
  <si>
    <t>Numbers</t>
  </si>
  <si>
    <t>Decimal comma or point both work (12,5 or 12.5); spaces in 1 250 are fine. Formulas are fine: their result is read.</t>
  </si>
  <si>
    <t>Amounts are in the tariff currency. Other sheets you add are ignored (you will see a warning).</t>
  </si>
  <si>
    <t>Field</t>
  </si>
  <si>
    <t>Value</t>
  </si>
  <si>
    <t>Note</t>
  </si>
  <si>
    <t>Tariff</t>
  </si>
  <si>
    <t>Standard LTL (EXAMPLE, not real prices)</t>
  </si>
  <si>
    <t>Information only, not read on import</t>
  </si>
  <si>
    <t>Side</t>
  </si>
  <si>
    <t>SELL</t>
  </si>
  <si>
    <t>Owner</t>
  </si>
  <si>
    <t>Standard</t>
  </si>
  <si>
    <t>Scope</t>
  </si>
  <si>
    <t>LTL</t>
  </si>
  <si>
    <t>Currency</t>
  </si>
  <si>
    <t>CZK</t>
  </si>
  <si>
    <t>Zone taken from</t>
  </si>
  <si>
    <t>Destination postcode</t>
  </si>
  <si>
    <t>Valid from</t>
  </si>
  <si>
    <t>A date: 2026-11-01, 1. 11. 2026 or an Excel date</t>
  </si>
  <si>
    <t>Valid to</t>
  </si>
  <si>
    <t>Empty = open-ended</t>
  </si>
  <si>
    <t>kg per LDM</t>
  </si>
  <si>
    <t>Chargeable kg per loading metre</t>
  </si>
  <si>
    <t>kg per m³</t>
  </si>
  <si>
    <t>Chargeable kg per cubic metre</t>
  </si>
  <si>
    <t>kg per pallet place</t>
  </si>
  <si>
    <t>Chargeable kg per pallet place</t>
  </si>
  <si>
    <t>Weight step kg</t>
  </si>
  <si>
    <t>Chargeable weight is rounded up to this step (1 = whole kg)</t>
  </si>
  <si>
    <t>Money step</t>
  </si>
  <si>
    <t>Each price line is rounded to this step (0.01 or 1)</t>
  </si>
  <si>
    <t>Notes</t>
  </si>
  <si>
    <t>EXAMPLE ONLY: illustrative prices to show how the template is filled in, not a real price list.</t>
  </si>
  <si>
    <t>Free text</t>
  </si>
  <si>
    <t>Zone code</t>
  </si>
  <si>
    <t>Label</t>
  </si>
  <si>
    <t>PSČ from</t>
  </si>
  <si>
    <t>PSČ to</t>
  </si>
  <si>
    <t>Remote</t>
  </si>
  <si>
    <t>PRG</t>
  </si>
  <si>
    <t>Praha</t>
  </si>
  <si>
    <t>100 00</t>
  </si>
  <si>
    <t>199 99</t>
  </si>
  <si>
    <t>N</t>
  </si>
  <si>
    <t>STC</t>
  </si>
  <si>
    <t>Střední Čechy</t>
  </si>
  <si>
    <t>200 00</t>
  </si>
  <si>
    <t>299 99</t>
  </si>
  <si>
    <t>ZPC</t>
  </si>
  <si>
    <t>Západní Čechy</t>
  </si>
  <si>
    <t>300 00</t>
  </si>
  <si>
    <t>369 99</t>
  </si>
  <si>
    <t>JHC</t>
  </si>
  <si>
    <t>Jižní Čechy</t>
  </si>
  <si>
    <t>370 00</t>
  </si>
  <si>
    <t>399 99</t>
  </si>
  <si>
    <t>SVC</t>
  </si>
  <si>
    <t>Severní Čechy</t>
  </si>
  <si>
    <t>400 00</t>
  </si>
  <si>
    <t>499 99</t>
  </si>
  <si>
    <t>VYC</t>
  </si>
  <si>
    <t>Východní Čechy a Vysočina</t>
  </si>
  <si>
    <t>500 00</t>
  </si>
  <si>
    <t>599 99</t>
  </si>
  <si>
    <t>JHM</t>
  </si>
  <si>
    <t>Jižní Morava</t>
  </si>
  <si>
    <t>600 00</t>
  </si>
  <si>
    <t>699 99</t>
  </si>
  <si>
    <t>SVM</t>
  </si>
  <si>
    <t>Severní Morava a Slezsko</t>
  </si>
  <si>
    <t>700 00</t>
  </si>
  <si>
    <t>799 99</t>
  </si>
  <si>
    <t>JES</t>
  </si>
  <si>
    <t>Jesenicko (remote, inside SVM)</t>
  </si>
  <si>
    <t>790 01</t>
  </si>
  <si>
    <t>790 99</t>
  </si>
  <si>
    <t>Y</t>
  </si>
  <si>
    <t>D1: +1 day</t>
  </si>
  <si>
    <t>Bands in rows, zones in columns. Empty cell = no price. The MIN row is the minimum charge per zone.</t>
  </si>
  <si>
    <t>Basis</t>
  </si>
  <si>
    <t>From (excl.)</t>
  </si>
  <si>
    <t>To (incl.)</t>
  </si>
  <si>
    <t>Price type</t>
  </si>
  <si>
    <t>KG</t>
  </si>
  <si>
    <t>FLAT</t>
  </si>
  <si>
    <t>PER_100KG</t>
  </si>
  <si>
    <t>MIN</t>
  </si>
  <si>
    <t>D2: +2 days</t>
  </si>
  <si>
    <t>D3: +3 days</t>
  </si>
  <si>
    <t>D4: +4 days</t>
  </si>
  <si>
    <t>EXP_1000: Express by 10:00</t>
  </si>
  <si>
    <t>Code</t>
  </si>
  <si>
    <t>Calculation</t>
  </si>
  <si>
    <t>Minimum</t>
  </si>
  <si>
    <t>On freight + surcharges</t>
  </si>
  <si>
    <t>FUEL</t>
  </si>
  <si>
    <t>FUEL_INDEX</t>
  </si>
  <si>
    <t>ADR</t>
  </si>
  <si>
    <t>TAIL_LIFT</t>
  </si>
  <si>
    <t>AVIZACE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</si>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</sst>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808080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0" fontId="4" fillId="0" borderId="0" xfId="0" applyFont="1"/>
    <xf numFmtId="4" fontId="2" fillId="2" borderId="0" xfId="0" applyNumberFormat="1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s="2" customFormat="1" x14ac:dyDescent="0.25">
      <c r="A8" s="2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2</v>
      </c>
    </row>
    <row r="14" spans="1:1" s="2" customFormat="1" x14ac:dyDescent="0.25">
      <c r="A14" s="2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2</v>
      </c>
    </row>
    <row r="19" spans="1:1" s="2" customFormat="1" x14ac:dyDescent="0.25">
      <c r="A19" s="2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</v>
      </c>
    </row>
    <row r="29" spans="1:1" s="2" customFormat="1" x14ac:dyDescent="0.25">
      <c r="A29" s="2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2</v>
      </c>
    </row>
    <row r="37" spans="1:1" s="2" customFormat="1" x14ac:dyDescent="0.25">
      <c r="A37" s="2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70" customWidth="1"/>
  </cols>
  <sheetData>
    <row r="1" spans="1:3" s="2" customFormat="1" x14ac:dyDescent="0.25">
      <c r="A1" s="3" t="s">
        <v>34</v>
      </c>
      <c r="B1" s="3" t="s">
        <v>35</v>
      </c>
      <c r="C1" s="3" t="s">
        <v>36</v>
      </c>
    </row>
    <row r="2" spans="1:3" s="4" customFormat="1" x14ac:dyDescent="0.25">
      <c r="A2" s="4" t="s">
        <v>37</v>
      </c>
      <c r="B2" s="4" t="s">
        <v>38</v>
      </c>
      <c r="C2" s="4" t="s">
        <v>39</v>
      </c>
    </row>
    <row r="3" spans="1:3" s="4" customFormat="1" x14ac:dyDescent="0.25">
      <c r="A3" s="4" t="s">
        <v>40</v>
      </c>
      <c r="B3" s="4" t="s">
        <v>41</v>
      </c>
      <c r="C3" s="4" t="s">
        <v>39</v>
      </c>
    </row>
    <row r="4" spans="1:3" s="4" customFormat="1" x14ac:dyDescent="0.25">
      <c r="A4" s="4" t="s">
        <v>42</v>
      </c>
      <c r="B4" s="4" t="s">
        <v>43</v>
      </c>
      <c r="C4" s="4" t="s">
        <v>39</v>
      </c>
    </row>
    <row r="5" spans="1:3" s="4" customFormat="1" x14ac:dyDescent="0.25">
      <c r="A5" s="4" t="s">
        <v>44</v>
      </c>
      <c r="B5" s="4" t="s">
        <v>45</v>
      </c>
      <c r="C5" s="4" t="s">
        <v>39</v>
      </c>
    </row>
    <row r="6" spans="1:3" s="4" customFormat="1" x14ac:dyDescent="0.25">
      <c r="A6" s="4" t="s">
        <v>46</v>
      </c>
      <c r="B6" s="4" t="s">
        <v>47</v>
      </c>
      <c r="C6" s="4" t="s">
        <v>39</v>
      </c>
    </row>
    <row r="7" spans="1:3" s="4" customFormat="1" x14ac:dyDescent="0.25">
      <c r="A7" s="4" t="s">
        <v>48</v>
      </c>
      <c r="B7" s="4" t="s">
        <v>49</v>
      </c>
      <c r="C7" s="4" t="s">
        <v>39</v>
      </c>
    </row>
    <row r="8" spans="1:3" x14ac:dyDescent="0.25">
      <c r="A8" s="2" t="s">
        <v>50</v>
      </c>
      <c r="B8" s="5">
        <v>46388</v>
      </c>
      <c r="C8" t="s">
        <v>51</v>
      </c>
    </row>
    <row r="9" spans="1:3" x14ac:dyDescent="0.25">
      <c r="A9" s="2" t="s">
        <v>52</v>
      </c>
      <c r="B9" s="5"/>
      <c r="C9" t="s">
        <v>53</v>
      </c>
    </row>
    <row r="10" spans="1:3" x14ac:dyDescent="0.25">
      <c r="A10" s="2" t="s">
        <v>54</v>
      </c>
      <c r="B10">
        <v>1750</v>
      </c>
      <c r="C10" t="s">
        <v>55</v>
      </c>
    </row>
    <row r="11" spans="1:3" x14ac:dyDescent="0.25">
      <c r="A11" s="2" t="s">
        <v>56</v>
      </c>
      <c r="B11">
        <v>250</v>
      </c>
      <c r="C11" t="s">
        <v>57</v>
      </c>
    </row>
    <row r="12" spans="1:3" x14ac:dyDescent="0.25">
      <c r="A12" s="2" t="s">
        <v>58</v>
      </c>
      <c r="B12">
        <v>400</v>
      </c>
      <c r="C12" t="s">
        <v>59</v>
      </c>
    </row>
    <row r="13" spans="1:3" x14ac:dyDescent="0.25">
      <c r="A13" s="2" t="s">
        <v>60</v>
      </c>
      <c r="B13">
        <v>1</v>
      </c>
      <c r="C13" t="s">
        <v>61</v>
      </c>
    </row>
    <row r="14" spans="1:3" x14ac:dyDescent="0.25">
      <c r="A14" s="2" t="s">
        <v>62</v>
      </c>
      <c r="B14">
        <v>1</v>
      </c>
      <c r="C14" t="s">
        <v>63</v>
      </c>
    </row>
    <row r="15" spans="1:3" x14ac:dyDescent="0.25">
      <c r="A15" s="2" t="s">
        <v>64</v>
      </c>
      <c r="B15" t="s">
        <v>65</v>
      </c>
      <c r="C1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4" width="11" customWidth="1"/>
  </cols>
  <sheetData>
    <row r="1" spans="1:5" s="2" customFormat="1" x14ac:dyDescent="0.25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</row>
    <row r="2" spans="1:5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 t="s">
        <v>80</v>
      </c>
      <c r="E3" t="s">
        <v>76</v>
      </c>
    </row>
    <row r="4" spans="1:5" x14ac:dyDescent="0.25">
      <c r="A4" t="s">
        <v>81</v>
      </c>
      <c r="B4" t="s">
        <v>82</v>
      </c>
      <c r="C4" t="s">
        <v>83</v>
      </c>
      <c r="D4" t="s">
        <v>84</v>
      </c>
      <c r="E4" t="s">
        <v>76</v>
      </c>
    </row>
    <row r="5" spans="1:5" x14ac:dyDescent="0.25">
      <c r="A5" t="s">
        <v>85</v>
      </c>
      <c r="B5" t="s">
        <v>86</v>
      </c>
      <c r="C5" t="s">
        <v>87</v>
      </c>
      <c r="D5" t="s">
        <v>88</v>
      </c>
      <c r="E5" t="s">
        <v>76</v>
      </c>
    </row>
    <row r="6" spans="1:5" x14ac:dyDescent="0.25">
      <c r="A6" t="s">
        <v>89</v>
      </c>
      <c r="B6" t="s">
        <v>90</v>
      </c>
      <c r="C6" t="s">
        <v>91</v>
      </c>
      <c r="D6" t="s">
        <v>92</v>
      </c>
      <c r="E6" t="s">
        <v>76</v>
      </c>
    </row>
    <row r="7" spans="1:5" x14ac:dyDescent="0.25">
      <c r="A7" t="s">
        <v>93</v>
      </c>
      <c r="B7" t="s">
        <v>94</v>
      </c>
      <c r="C7" t="s">
        <v>95</v>
      </c>
      <c r="D7" t="s">
        <v>96</v>
      </c>
      <c r="E7" t="s">
        <v>76</v>
      </c>
    </row>
    <row r="8" spans="1:5" x14ac:dyDescent="0.25">
      <c r="A8" t="s">
        <v>97</v>
      </c>
      <c r="B8" t="s">
        <v>98</v>
      </c>
      <c r="C8" t="s">
        <v>99</v>
      </c>
      <c r="D8" t="s">
        <v>100</v>
      </c>
      <c r="E8" t="s">
        <v>76</v>
      </c>
    </row>
    <row r="9" spans="1:5" x14ac:dyDescent="0.25">
      <c r="A9" t="s">
        <v>101</v>
      </c>
      <c r="B9" t="s">
        <v>102</v>
      </c>
      <c r="C9" t="s">
        <v>103</v>
      </c>
      <c r="D9" t="s">
        <v>104</v>
      </c>
      <c r="E9" t="s">
        <v>76</v>
      </c>
    </row>
    <row r="10" spans="1:5" x14ac:dyDescent="0.25">
      <c r="A10" t="s">
        <v>105</v>
      </c>
      <c r="B10" t="s">
        <v>106</v>
      </c>
      <c r="C10" t="s">
        <v>107</v>
      </c>
      <c r="D10" t="s">
        <v>108</v>
      </c>
      <c r="E10" t="s">
        <v>109</v>
      </c>
    </row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</sheetData>
  <dataValidations count="2">
    <dataValidation type="list" allowBlank="1" showErrorMessage="1" errorTitle="Not in the list" error="Use one of: Y, N" sqref="E10:E60">
      <formula1>"Y,N"</formula1>
    </dataValidation>
    <dataValidation type="list" allowBlank="1" showErrorMessage="1" errorTitle="Not in the list" error="Use one of: Y, N" sqref="E2:E6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3" customWidth="1"/>
    <col min="5" max="13" width="12" style="6" customWidth="1"/>
  </cols>
  <sheetData>
    <row r="1" spans="1:13" x14ac:dyDescent="0.25">
      <c r="A1" s="7" t="s">
        <v>110</v>
      </c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4" t="s">
        <v>111</v>
      </c>
      <c r="E2" s="6"/>
      <c r="F2" s="6"/>
      <c r="G2" s="6"/>
      <c r="H2" s="6"/>
      <c r="I2" s="6"/>
      <c r="J2" s="6"/>
      <c r="K2" s="6"/>
      <c r="L2" s="6"/>
      <c r="M2" s="6"/>
    </row>
    <row r="3" spans="1:13" s="2" customForma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8" t="s">
        <v>72</v>
      </c>
      <c r="F3" s="8" t="s">
        <v>77</v>
      </c>
      <c r="G3" s="8" t="s">
        <v>81</v>
      </c>
      <c r="H3" s="8" t="s">
        <v>85</v>
      </c>
      <c r="I3" s="8" t="s">
        <v>89</v>
      </c>
      <c r="J3" s="8" t="s">
        <v>93</v>
      </c>
      <c r="K3" s="8" t="s">
        <v>97</v>
      </c>
      <c r="L3" s="8" t="s">
        <v>101</v>
      </c>
      <c r="M3" s="8" t="s">
        <v>105</v>
      </c>
    </row>
    <row r="4" spans="1:13" x14ac:dyDescent="0.25">
      <c r="A4" t="s">
        <v>116</v>
      </c>
      <c r="B4">
        <v>0</v>
      </c>
      <c r="C4">
        <v>50</v>
      </c>
      <c r="D4" t="s">
        <v>117</v>
      </c>
      <c r="E4" s="6">
        <v>404</v>
      </c>
      <c r="F4" s="6">
        <v>448</v>
      </c>
      <c r="G4" s="6">
        <v>493</v>
      </c>
      <c r="H4" s="6">
        <v>502</v>
      </c>
      <c r="I4" s="6">
        <v>484</v>
      </c>
      <c r="J4" s="6">
        <v>493</v>
      </c>
      <c r="K4" s="6">
        <v>529</v>
      </c>
      <c r="L4" s="6">
        <v>561</v>
      </c>
      <c r="M4" s="6">
        <v>605</v>
      </c>
    </row>
    <row r="5" spans="1:13" x14ac:dyDescent="0.25">
      <c r="A5" t="s">
        <v>116</v>
      </c>
      <c r="B5">
        <v>50</v>
      </c>
      <c r="C5">
        <v>100</v>
      </c>
      <c r="D5" t="s">
        <v>117</v>
      </c>
      <c r="E5" s="6">
        <v>507</v>
      </c>
      <c r="F5" s="6">
        <v>564</v>
      </c>
      <c r="G5" s="6">
        <v>620</v>
      </c>
      <c r="H5" s="6">
        <v>631</v>
      </c>
      <c r="I5" s="6">
        <v>609</v>
      </c>
      <c r="J5" s="6">
        <v>620</v>
      </c>
      <c r="K5" s="6">
        <v>665</v>
      </c>
      <c r="L5" s="6">
        <v>704</v>
      </c>
      <c r="M5" s="6">
        <v>761</v>
      </c>
    </row>
    <row r="6" spans="1:13" x14ac:dyDescent="0.25">
      <c r="A6" t="s">
        <v>116</v>
      </c>
      <c r="B6">
        <v>100</v>
      </c>
      <c r="C6">
        <v>200</v>
      </c>
      <c r="D6" t="s">
        <v>117</v>
      </c>
      <c r="E6" s="6">
        <v>662</v>
      </c>
      <c r="F6" s="6">
        <v>736</v>
      </c>
      <c r="G6" s="6">
        <v>810</v>
      </c>
      <c r="H6" s="6">
        <v>824</v>
      </c>
      <c r="I6" s="6">
        <v>795</v>
      </c>
      <c r="J6" s="6">
        <v>810</v>
      </c>
      <c r="K6" s="6">
        <v>868</v>
      </c>
      <c r="L6" s="6">
        <v>920</v>
      </c>
      <c r="M6" s="6">
        <v>994</v>
      </c>
    </row>
    <row r="7" spans="1:13" x14ac:dyDescent="0.25">
      <c r="A7" t="s">
        <v>116</v>
      </c>
      <c r="B7">
        <v>200</v>
      </c>
      <c r="C7">
        <v>300</v>
      </c>
      <c r="D7" t="s">
        <v>117</v>
      </c>
      <c r="E7" s="6">
        <v>818</v>
      </c>
      <c r="F7" s="6">
        <v>908</v>
      </c>
      <c r="G7" s="6">
        <v>999</v>
      </c>
      <c r="H7" s="6">
        <v>1018</v>
      </c>
      <c r="I7" s="6">
        <v>981</v>
      </c>
      <c r="J7" s="6">
        <v>999</v>
      </c>
      <c r="K7" s="6">
        <v>1072</v>
      </c>
      <c r="L7" s="6">
        <v>1136</v>
      </c>
      <c r="M7" s="6">
        <v>1226</v>
      </c>
    </row>
    <row r="8" spans="1:13" x14ac:dyDescent="0.25">
      <c r="A8" t="s">
        <v>116</v>
      </c>
      <c r="B8">
        <v>300</v>
      </c>
      <c r="C8">
        <v>500</v>
      </c>
      <c r="D8" t="s">
        <v>117</v>
      </c>
      <c r="E8" s="6">
        <v>1087</v>
      </c>
      <c r="F8" s="6">
        <v>1208</v>
      </c>
      <c r="G8" s="6">
        <v>1328</v>
      </c>
      <c r="H8" s="6">
        <v>1352</v>
      </c>
      <c r="I8" s="6">
        <v>1304</v>
      </c>
      <c r="J8" s="6">
        <v>1328</v>
      </c>
      <c r="K8" s="6">
        <v>1425</v>
      </c>
      <c r="L8" s="6">
        <v>1509</v>
      </c>
      <c r="M8" s="6">
        <v>1630</v>
      </c>
    </row>
    <row r="9" spans="1:13" x14ac:dyDescent="0.25">
      <c r="A9" t="s">
        <v>116</v>
      </c>
      <c r="B9">
        <v>500</v>
      </c>
      <c r="C9">
        <v>750</v>
      </c>
      <c r="D9" t="s">
        <v>117</v>
      </c>
      <c r="E9" s="6">
        <v>1439</v>
      </c>
      <c r="F9" s="6">
        <v>1598</v>
      </c>
      <c r="G9" s="6">
        <v>1758</v>
      </c>
      <c r="H9" s="6">
        <v>1790</v>
      </c>
      <c r="I9" s="6">
        <v>1726</v>
      </c>
      <c r="J9" s="6">
        <v>1758</v>
      </c>
      <c r="K9" s="6">
        <v>1886</v>
      </c>
      <c r="L9" s="6">
        <v>1998</v>
      </c>
      <c r="M9" s="6">
        <v>2158</v>
      </c>
    </row>
    <row r="10" spans="1:13" x14ac:dyDescent="0.25">
      <c r="A10" t="s">
        <v>116</v>
      </c>
      <c r="B10">
        <v>750</v>
      </c>
      <c r="C10">
        <v>1000</v>
      </c>
      <c r="D10" t="s">
        <v>117</v>
      </c>
      <c r="E10" s="6">
        <v>1749</v>
      </c>
      <c r="F10" s="6">
        <v>1943</v>
      </c>
      <c r="G10" s="6">
        <v>2138</v>
      </c>
      <c r="H10" s="6">
        <v>2177</v>
      </c>
      <c r="I10" s="6">
        <v>2099</v>
      </c>
      <c r="J10" s="6">
        <v>2138</v>
      </c>
      <c r="K10" s="6">
        <v>2293</v>
      </c>
      <c r="L10" s="6">
        <v>2429</v>
      </c>
      <c r="M10" s="6">
        <v>2624</v>
      </c>
    </row>
    <row r="11" spans="1:13" x14ac:dyDescent="0.25">
      <c r="A11" t="s">
        <v>116</v>
      </c>
      <c r="B11">
        <v>1000</v>
      </c>
      <c r="C11">
        <v>1500</v>
      </c>
      <c r="D11" t="s">
        <v>118</v>
      </c>
      <c r="E11" s="6">
        <v>171</v>
      </c>
      <c r="F11" s="6">
        <v>190</v>
      </c>
      <c r="G11" s="6">
        <v>209</v>
      </c>
      <c r="H11" s="6">
        <v>213</v>
      </c>
      <c r="I11" s="6">
        <v>205</v>
      </c>
      <c r="J11" s="6">
        <v>209</v>
      </c>
      <c r="K11" s="6">
        <v>224</v>
      </c>
      <c r="L11" s="6">
        <v>237</v>
      </c>
      <c r="M11" s="6">
        <v>256</v>
      </c>
    </row>
    <row r="12" spans="1:13" x14ac:dyDescent="0.25">
      <c r="A12" t="s">
        <v>116</v>
      </c>
      <c r="B12">
        <v>1500</v>
      </c>
      <c r="C12">
        <v>2000</v>
      </c>
      <c r="D12" t="s">
        <v>118</v>
      </c>
      <c r="E12" s="6">
        <v>155</v>
      </c>
      <c r="F12" s="6">
        <v>173</v>
      </c>
      <c r="G12" s="6">
        <v>190</v>
      </c>
      <c r="H12" s="6">
        <v>193</v>
      </c>
      <c r="I12" s="6">
        <v>186</v>
      </c>
      <c r="J12" s="6">
        <v>190</v>
      </c>
      <c r="K12" s="6">
        <v>204</v>
      </c>
      <c r="L12" s="6">
        <v>216</v>
      </c>
      <c r="M12" s="6">
        <v>233</v>
      </c>
    </row>
    <row r="13" spans="1:13" x14ac:dyDescent="0.25">
      <c r="A13" t="s">
        <v>116</v>
      </c>
      <c r="B13">
        <v>2000</v>
      </c>
      <c r="C13">
        <v>2500</v>
      </c>
      <c r="D13" t="s">
        <v>118</v>
      </c>
      <c r="E13" s="6">
        <v>145</v>
      </c>
      <c r="F13" s="6">
        <v>161</v>
      </c>
      <c r="G13" s="6">
        <v>177</v>
      </c>
      <c r="H13" s="6">
        <v>180</v>
      </c>
      <c r="I13" s="6">
        <v>174</v>
      </c>
      <c r="J13" s="6">
        <v>177</v>
      </c>
      <c r="K13" s="6">
        <v>190</v>
      </c>
      <c r="L13" s="6">
        <v>201</v>
      </c>
      <c r="M13" s="6">
        <v>217</v>
      </c>
    </row>
    <row r="14" spans="1:13" x14ac:dyDescent="0.25">
      <c r="A14" t="s">
        <v>116</v>
      </c>
      <c r="B14">
        <v>2500</v>
      </c>
      <c r="D14" t="s">
        <v>118</v>
      </c>
      <c r="E14" s="6">
        <v>135</v>
      </c>
      <c r="F14" s="6">
        <v>150</v>
      </c>
      <c r="G14" s="6">
        <v>164</v>
      </c>
      <c r="H14" s="6">
        <v>167</v>
      </c>
      <c r="I14" s="6">
        <v>161</v>
      </c>
      <c r="J14" s="6">
        <v>164</v>
      </c>
      <c r="K14" s="6">
        <v>176</v>
      </c>
      <c r="L14" s="6">
        <v>187</v>
      </c>
      <c r="M14" s="6">
        <v>202</v>
      </c>
    </row>
    <row r="15" spans="1:13" s="2" customFormat="1" x14ac:dyDescent="0.25">
      <c r="A15" s="2" t="s">
        <v>119</v>
      </c>
      <c r="B15" s="2"/>
      <c r="C15" s="2"/>
      <c r="D15" s="2"/>
      <c r="E15" s="9">
        <v>362</v>
      </c>
      <c r="F15" s="9">
        <v>402</v>
      </c>
      <c r="G15" s="9">
        <v>443</v>
      </c>
      <c r="H15" s="9">
        <v>451</v>
      </c>
      <c r="I15" s="9">
        <v>435</v>
      </c>
      <c r="J15" s="9">
        <v>443</v>
      </c>
      <c r="K15" s="9">
        <v>475</v>
      </c>
      <c r="L15" s="9">
        <v>503</v>
      </c>
      <c r="M15" s="9">
        <v>543</v>
      </c>
    </row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</sheetData>
  <dataValidations count="4">
    <dataValidation type="list" allowBlank="1" showErrorMessage="1" errorTitle="Not in the list" error="Use one of: KG, PALLET, LDM, TRIP, MIN" sqref="A10:A65">
      <formula1>"KG,PALLET,LDM,TRIP,MIN"</formula1>
    </dataValidation>
    <dataValidation type="list" allowBlank="1" showErrorMessage="1" errorTitle="Not in the list" error="Use one of: KG, PALLET, LDM, TRIP, MIN" sqref="A4:A65">
      <formula1>"KG,PALLET,LDM,TRIP,MIN"</formula1>
    </dataValidation>
    <dataValidation type="list" allowBlank="1" showErrorMessage="1" errorTitle="Not in the list" error="Use one of: FLAT, PER_UNIT, PER_100KG" sqref="D10:D65">
      <formula1>"FLAT,PER_UNIT,PER_100KG"</formula1>
    </dataValidation>
    <dataValidation type="list" allowBlank="1" showErrorMessage="1" errorTitle="Not in the list" error="Use one of: FLAT, PER_UNIT, PER_100KG" sqref="D4:D65">
      <formula1>"FLAT,PER_UNIT,PER_100KG"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3" customWidth="1"/>
    <col min="5" max="13" width="12" style="6" customWidth="1"/>
  </cols>
  <sheetData>
    <row r="1" spans="1:13" x14ac:dyDescent="0.25">
      <c r="A1" s="7" t="s">
        <v>120</v>
      </c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4" t="s">
        <v>111</v>
      </c>
      <c r="E2" s="6"/>
      <c r="F2" s="6"/>
      <c r="G2" s="6"/>
      <c r="H2" s="6"/>
      <c r="I2" s="6"/>
      <c r="J2" s="6"/>
      <c r="K2" s="6"/>
      <c r="L2" s="6"/>
      <c r="M2" s="6"/>
    </row>
    <row r="3" spans="1:13" s="2" customForma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8" t="s">
        <v>72</v>
      </c>
      <c r="F3" s="8" t="s">
        <v>77</v>
      </c>
      <c r="G3" s="8" t="s">
        <v>81</v>
      </c>
      <c r="H3" s="8" t="s">
        <v>85</v>
      </c>
      <c r="I3" s="8" t="s">
        <v>89</v>
      </c>
      <c r="J3" s="8" t="s">
        <v>93</v>
      </c>
      <c r="K3" s="8" t="s">
        <v>97</v>
      </c>
      <c r="L3" s="8" t="s">
        <v>101</v>
      </c>
      <c r="M3" s="8" t="s">
        <v>105</v>
      </c>
    </row>
    <row r="4" spans="1:13" x14ac:dyDescent="0.25">
      <c r="A4" t="s">
        <v>116</v>
      </c>
      <c r="B4">
        <v>0</v>
      </c>
      <c r="C4">
        <v>50</v>
      </c>
      <c r="D4" t="s">
        <v>117</v>
      </c>
      <c r="E4" s="6">
        <v>351</v>
      </c>
      <c r="F4" s="6">
        <v>390</v>
      </c>
      <c r="G4" s="6">
        <v>429</v>
      </c>
      <c r="H4" s="6">
        <v>437</v>
      </c>
      <c r="I4" s="6">
        <v>421</v>
      </c>
      <c r="J4" s="6">
        <v>429</v>
      </c>
      <c r="K4" s="6">
        <v>460</v>
      </c>
      <c r="L4" s="6">
        <v>488</v>
      </c>
      <c r="M4" s="6">
        <v>527</v>
      </c>
    </row>
    <row r="5" spans="1:13" x14ac:dyDescent="0.25">
      <c r="A5" t="s">
        <v>116</v>
      </c>
      <c r="B5">
        <v>50</v>
      </c>
      <c r="C5">
        <v>100</v>
      </c>
      <c r="D5" t="s">
        <v>117</v>
      </c>
      <c r="E5" s="6">
        <v>441</v>
      </c>
      <c r="F5" s="6">
        <v>490</v>
      </c>
      <c r="G5" s="6">
        <v>539</v>
      </c>
      <c r="H5" s="6">
        <v>549</v>
      </c>
      <c r="I5" s="6">
        <v>529</v>
      </c>
      <c r="J5" s="6">
        <v>539</v>
      </c>
      <c r="K5" s="6">
        <v>578</v>
      </c>
      <c r="L5" s="6">
        <v>613</v>
      </c>
      <c r="M5" s="6">
        <v>662</v>
      </c>
    </row>
    <row r="6" spans="1:13" x14ac:dyDescent="0.25">
      <c r="A6" t="s">
        <v>116</v>
      </c>
      <c r="B6">
        <v>100</v>
      </c>
      <c r="C6">
        <v>200</v>
      </c>
      <c r="D6" t="s">
        <v>117</v>
      </c>
      <c r="E6" s="6">
        <v>576</v>
      </c>
      <c r="F6" s="6">
        <v>640</v>
      </c>
      <c r="G6" s="6">
        <v>704</v>
      </c>
      <c r="H6" s="6">
        <v>717</v>
      </c>
      <c r="I6" s="6">
        <v>691</v>
      </c>
      <c r="J6" s="6">
        <v>704</v>
      </c>
      <c r="K6" s="6">
        <v>755</v>
      </c>
      <c r="L6" s="6">
        <v>800</v>
      </c>
      <c r="M6" s="6">
        <v>864</v>
      </c>
    </row>
    <row r="7" spans="1:13" x14ac:dyDescent="0.25">
      <c r="A7" t="s">
        <v>116</v>
      </c>
      <c r="B7">
        <v>200</v>
      </c>
      <c r="C7">
        <v>300</v>
      </c>
      <c r="D7" t="s">
        <v>117</v>
      </c>
      <c r="E7" s="6">
        <v>711</v>
      </c>
      <c r="F7" s="6">
        <v>790</v>
      </c>
      <c r="G7" s="6">
        <v>869</v>
      </c>
      <c r="H7" s="6">
        <v>885</v>
      </c>
      <c r="I7" s="6">
        <v>853</v>
      </c>
      <c r="J7" s="6">
        <v>869</v>
      </c>
      <c r="K7" s="6">
        <v>932</v>
      </c>
      <c r="L7" s="6">
        <v>988</v>
      </c>
      <c r="M7" s="6">
        <v>1067</v>
      </c>
    </row>
    <row r="8" spans="1:13" x14ac:dyDescent="0.25">
      <c r="A8" t="s">
        <v>116</v>
      </c>
      <c r="B8">
        <v>300</v>
      </c>
      <c r="C8">
        <v>500</v>
      </c>
      <c r="D8" t="s">
        <v>117</v>
      </c>
      <c r="E8" s="6">
        <v>945</v>
      </c>
      <c r="F8" s="6">
        <v>1050</v>
      </c>
      <c r="G8" s="6">
        <v>1155</v>
      </c>
      <c r="H8" s="6">
        <v>1176</v>
      </c>
      <c r="I8" s="6">
        <v>1134</v>
      </c>
      <c r="J8" s="6">
        <v>1155</v>
      </c>
      <c r="K8" s="6">
        <v>1239</v>
      </c>
      <c r="L8" s="6">
        <v>1313</v>
      </c>
      <c r="M8" s="6">
        <v>1418</v>
      </c>
    </row>
    <row r="9" spans="1:13" x14ac:dyDescent="0.25">
      <c r="A9" t="s">
        <v>116</v>
      </c>
      <c r="B9">
        <v>500</v>
      </c>
      <c r="C9">
        <v>750</v>
      </c>
      <c r="D9" t="s">
        <v>117</v>
      </c>
      <c r="E9" s="6">
        <v>1251</v>
      </c>
      <c r="F9" s="6">
        <v>1390</v>
      </c>
      <c r="G9" s="6">
        <v>1529</v>
      </c>
      <c r="H9" s="6">
        <v>1557</v>
      </c>
      <c r="I9" s="6">
        <v>1501</v>
      </c>
      <c r="J9" s="6">
        <v>1529</v>
      </c>
      <c r="K9" s="6">
        <v>1640</v>
      </c>
      <c r="L9" s="6">
        <v>1738</v>
      </c>
      <c r="M9" s="6">
        <v>1877</v>
      </c>
    </row>
    <row r="10" spans="1:13" x14ac:dyDescent="0.25">
      <c r="A10" t="s">
        <v>116</v>
      </c>
      <c r="B10">
        <v>750</v>
      </c>
      <c r="C10">
        <v>1000</v>
      </c>
      <c r="D10" t="s">
        <v>117</v>
      </c>
      <c r="E10" s="6">
        <v>1521</v>
      </c>
      <c r="F10" s="6">
        <v>1690</v>
      </c>
      <c r="G10" s="6">
        <v>1859</v>
      </c>
      <c r="H10" s="6">
        <v>1893</v>
      </c>
      <c r="I10" s="6">
        <v>1825</v>
      </c>
      <c r="J10" s="6">
        <v>1859</v>
      </c>
      <c r="K10" s="6">
        <v>1994</v>
      </c>
      <c r="L10" s="6">
        <v>2113</v>
      </c>
      <c r="M10" s="6">
        <v>2282</v>
      </c>
    </row>
    <row r="11" spans="1:13" x14ac:dyDescent="0.25">
      <c r="A11" t="s">
        <v>116</v>
      </c>
      <c r="B11">
        <v>1000</v>
      </c>
      <c r="C11">
        <v>1500</v>
      </c>
      <c r="D11" t="s">
        <v>118</v>
      </c>
      <c r="E11" s="6">
        <v>149</v>
      </c>
      <c r="F11" s="6">
        <v>165</v>
      </c>
      <c r="G11" s="6">
        <v>182</v>
      </c>
      <c r="H11" s="6">
        <v>185</v>
      </c>
      <c r="I11" s="6">
        <v>178</v>
      </c>
      <c r="J11" s="6">
        <v>182</v>
      </c>
      <c r="K11" s="6">
        <v>195</v>
      </c>
      <c r="L11" s="6">
        <v>206</v>
      </c>
      <c r="M11" s="6">
        <v>223</v>
      </c>
    </row>
    <row r="12" spans="1:13" x14ac:dyDescent="0.25">
      <c r="A12" t="s">
        <v>116</v>
      </c>
      <c r="B12">
        <v>1500</v>
      </c>
      <c r="C12">
        <v>2000</v>
      </c>
      <c r="D12" t="s">
        <v>118</v>
      </c>
      <c r="E12" s="6">
        <v>135</v>
      </c>
      <c r="F12" s="6">
        <v>150</v>
      </c>
      <c r="G12" s="6">
        <v>165</v>
      </c>
      <c r="H12" s="6">
        <v>168</v>
      </c>
      <c r="I12" s="6">
        <v>162</v>
      </c>
      <c r="J12" s="6">
        <v>165</v>
      </c>
      <c r="K12" s="6">
        <v>177</v>
      </c>
      <c r="L12" s="6">
        <v>188</v>
      </c>
      <c r="M12" s="6">
        <v>203</v>
      </c>
    </row>
    <row r="13" spans="1:13" x14ac:dyDescent="0.25">
      <c r="A13" t="s">
        <v>116</v>
      </c>
      <c r="B13">
        <v>2000</v>
      </c>
      <c r="C13">
        <v>2500</v>
      </c>
      <c r="D13" t="s">
        <v>118</v>
      </c>
      <c r="E13" s="6">
        <v>126</v>
      </c>
      <c r="F13" s="6">
        <v>140</v>
      </c>
      <c r="G13" s="6">
        <v>154</v>
      </c>
      <c r="H13" s="6">
        <v>157</v>
      </c>
      <c r="I13" s="6">
        <v>151</v>
      </c>
      <c r="J13" s="6">
        <v>154</v>
      </c>
      <c r="K13" s="6">
        <v>165</v>
      </c>
      <c r="L13" s="6">
        <v>175</v>
      </c>
      <c r="M13" s="6">
        <v>189</v>
      </c>
    </row>
    <row r="14" spans="1:13" x14ac:dyDescent="0.25">
      <c r="A14" t="s">
        <v>116</v>
      </c>
      <c r="B14">
        <v>2500</v>
      </c>
      <c r="D14" t="s">
        <v>118</v>
      </c>
      <c r="E14" s="6">
        <v>117</v>
      </c>
      <c r="F14" s="6">
        <v>130</v>
      </c>
      <c r="G14" s="6">
        <v>143</v>
      </c>
      <c r="H14" s="6">
        <v>146</v>
      </c>
      <c r="I14" s="6">
        <v>140</v>
      </c>
      <c r="J14" s="6">
        <v>143</v>
      </c>
      <c r="K14" s="6">
        <v>153</v>
      </c>
      <c r="L14" s="6">
        <v>163</v>
      </c>
      <c r="M14" s="6">
        <v>176</v>
      </c>
    </row>
    <row r="15" spans="1:13" s="2" customFormat="1" x14ac:dyDescent="0.25">
      <c r="A15" s="2" t="s">
        <v>119</v>
      </c>
      <c r="B15" s="2"/>
      <c r="C15" s="2"/>
      <c r="D15" s="2"/>
      <c r="E15" s="9">
        <v>315</v>
      </c>
      <c r="F15" s="9">
        <v>350</v>
      </c>
      <c r="G15" s="9">
        <v>385</v>
      </c>
      <c r="H15" s="9">
        <v>392</v>
      </c>
      <c r="I15" s="9">
        <v>378</v>
      </c>
      <c r="J15" s="9">
        <v>385</v>
      </c>
      <c r="K15" s="9">
        <v>413</v>
      </c>
      <c r="L15" s="9">
        <v>438</v>
      </c>
      <c r="M15" s="9">
        <v>473</v>
      </c>
    </row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</sheetData>
  <dataValidations count="4">
    <dataValidation type="list" allowBlank="1" showErrorMessage="1" errorTitle="Not in the list" error="Use one of: KG, PALLET, LDM, TRIP, MIN" sqref="A10:A65">
      <formula1>"KG,PALLET,LDM,TRIP,MIN"</formula1>
    </dataValidation>
    <dataValidation type="list" allowBlank="1" showErrorMessage="1" errorTitle="Not in the list" error="Use one of: KG, PALLET, LDM, TRIP, MIN" sqref="A4:A65">
      <formula1>"KG,PALLET,LDM,TRIP,MIN"</formula1>
    </dataValidation>
    <dataValidation type="list" allowBlank="1" showErrorMessage="1" errorTitle="Not in the list" error="Use one of: FLAT, PER_UNIT, PER_100KG" sqref="D10:D65">
      <formula1>"FLAT,PER_UNIT,PER_100KG"</formula1>
    </dataValidation>
    <dataValidation type="list" allowBlank="1" showErrorMessage="1" errorTitle="Not in the list" error="Use one of: FLAT, PER_UNIT, PER_100KG" sqref="D4:D65">
      <formula1>"FLAT,PER_UNIT,PER_100KG"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3" customWidth="1"/>
    <col min="5" max="13" width="12" style="6" customWidth="1"/>
  </cols>
  <sheetData>
    <row r="1" spans="1:13" x14ac:dyDescent="0.25">
      <c r="A1" s="7" t="s">
        <v>121</v>
      </c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4" t="s">
        <v>111</v>
      </c>
      <c r="E2" s="6"/>
      <c r="F2" s="6"/>
      <c r="G2" s="6"/>
      <c r="H2" s="6"/>
      <c r="I2" s="6"/>
      <c r="J2" s="6"/>
      <c r="K2" s="6"/>
      <c r="L2" s="6"/>
      <c r="M2" s="6"/>
    </row>
    <row r="3" spans="1:13" s="2" customForma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8" t="s">
        <v>72</v>
      </c>
      <c r="F3" s="8" t="s">
        <v>77</v>
      </c>
      <c r="G3" s="8" t="s">
        <v>81</v>
      </c>
      <c r="H3" s="8" t="s">
        <v>85</v>
      </c>
      <c r="I3" s="8" t="s">
        <v>89</v>
      </c>
      <c r="J3" s="8" t="s">
        <v>93</v>
      </c>
      <c r="K3" s="8" t="s">
        <v>97</v>
      </c>
      <c r="L3" s="8" t="s">
        <v>101</v>
      </c>
      <c r="M3" s="8" t="s">
        <v>105</v>
      </c>
    </row>
    <row r="4" spans="1:13" x14ac:dyDescent="0.25">
      <c r="A4" t="s">
        <v>116</v>
      </c>
      <c r="B4">
        <v>0</v>
      </c>
      <c r="C4">
        <v>50</v>
      </c>
      <c r="D4" t="s">
        <v>117</v>
      </c>
      <c r="E4" s="6">
        <v>326</v>
      </c>
      <c r="F4" s="6">
        <v>363</v>
      </c>
      <c r="G4" s="6">
        <v>399</v>
      </c>
      <c r="H4" s="6">
        <v>406</v>
      </c>
      <c r="I4" s="6">
        <v>392</v>
      </c>
      <c r="J4" s="6">
        <v>399</v>
      </c>
      <c r="K4" s="6">
        <v>428</v>
      </c>
      <c r="L4" s="6">
        <v>453</v>
      </c>
      <c r="M4" s="6">
        <v>490</v>
      </c>
    </row>
    <row r="5" spans="1:13" x14ac:dyDescent="0.25">
      <c r="A5" t="s">
        <v>116</v>
      </c>
      <c r="B5">
        <v>50</v>
      </c>
      <c r="C5">
        <v>100</v>
      </c>
      <c r="D5" t="s">
        <v>117</v>
      </c>
      <c r="E5" s="6">
        <v>410</v>
      </c>
      <c r="F5" s="6">
        <v>456</v>
      </c>
      <c r="G5" s="6">
        <v>501</v>
      </c>
      <c r="H5" s="6">
        <v>510</v>
      </c>
      <c r="I5" s="6">
        <v>492</v>
      </c>
      <c r="J5" s="6">
        <v>501</v>
      </c>
      <c r="K5" s="6">
        <v>538</v>
      </c>
      <c r="L5" s="6">
        <v>570</v>
      </c>
      <c r="M5" s="6">
        <v>615</v>
      </c>
    </row>
    <row r="6" spans="1:13" x14ac:dyDescent="0.25">
      <c r="A6" t="s">
        <v>116</v>
      </c>
      <c r="B6">
        <v>100</v>
      </c>
      <c r="C6">
        <v>200</v>
      </c>
      <c r="D6" t="s">
        <v>117</v>
      </c>
      <c r="E6" s="6">
        <v>536</v>
      </c>
      <c r="F6" s="6">
        <v>595</v>
      </c>
      <c r="G6" s="6">
        <v>655</v>
      </c>
      <c r="H6" s="6">
        <v>667</v>
      </c>
      <c r="I6" s="6">
        <v>643</v>
      </c>
      <c r="J6" s="6">
        <v>655</v>
      </c>
      <c r="K6" s="6">
        <v>702</v>
      </c>
      <c r="L6" s="6">
        <v>744</v>
      </c>
      <c r="M6" s="6">
        <v>804</v>
      </c>
    </row>
    <row r="7" spans="1:13" x14ac:dyDescent="0.25">
      <c r="A7" t="s">
        <v>116</v>
      </c>
      <c r="B7">
        <v>200</v>
      </c>
      <c r="C7">
        <v>300</v>
      </c>
      <c r="D7" t="s">
        <v>117</v>
      </c>
      <c r="E7" s="6">
        <v>661</v>
      </c>
      <c r="F7" s="6">
        <v>735</v>
      </c>
      <c r="G7" s="6">
        <v>808</v>
      </c>
      <c r="H7" s="6">
        <v>823</v>
      </c>
      <c r="I7" s="6">
        <v>793</v>
      </c>
      <c r="J7" s="6">
        <v>808</v>
      </c>
      <c r="K7" s="6">
        <v>867</v>
      </c>
      <c r="L7" s="6">
        <v>918</v>
      </c>
      <c r="M7" s="6">
        <v>992</v>
      </c>
    </row>
    <row r="8" spans="1:13" x14ac:dyDescent="0.25">
      <c r="A8" t="s">
        <v>116</v>
      </c>
      <c r="B8">
        <v>300</v>
      </c>
      <c r="C8">
        <v>500</v>
      </c>
      <c r="D8" t="s">
        <v>117</v>
      </c>
      <c r="E8" s="6">
        <v>879</v>
      </c>
      <c r="F8" s="6">
        <v>977</v>
      </c>
      <c r="G8" s="6">
        <v>1074</v>
      </c>
      <c r="H8" s="6">
        <v>1094</v>
      </c>
      <c r="I8" s="6">
        <v>1055</v>
      </c>
      <c r="J8" s="6">
        <v>1074</v>
      </c>
      <c r="K8" s="6">
        <v>1152</v>
      </c>
      <c r="L8" s="6">
        <v>1221</v>
      </c>
      <c r="M8" s="6">
        <v>1318</v>
      </c>
    </row>
    <row r="9" spans="1:13" x14ac:dyDescent="0.25">
      <c r="A9" t="s">
        <v>116</v>
      </c>
      <c r="B9">
        <v>500</v>
      </c>
      <c r="C9">
        <v>750</v>
      </c>
      <c r="D9" t="s">
        <v>117</v>
      </c>
      <c r="E9" s="6">
        <v>1163</v>
      </c>
      <c r="F9" s="6">
        <v>1293</v>
      </c>
      <c r="G9" s="6">
        <v>1422</v>
      </c>
      <c r="H9" s="6">
        <v>1448</v>
      </c>
      <c r="I9" s="6">
        <v>1396</v>
      </c>
      <c r="J9" s="6">
        <v>1422</v>
      </c>
      <c r="K9" s="6">
        <v>1525</v>
      </c>
      <c r="L9" s="6">
        <v>1616</v>
      </c>
      <c r="M9" s="6">
        <v>1745</v>
      </c>
    </row>
    <row r="10" spans="1:13" x14ac:dyDescent="0.25">
      <c r="A10" t="s">
        <v>116</v>
      </c>
      <c r="B10">
        <v>750</v>
      </c>
      <c r="C10">
        <v>1000</v>
      </c>
      <c r="D10" t="s">
        <v>117</v>
      </c>
      <c r="E10" s="6">
        <v>1415</v>
      </c>
      <c r="F10" s="6">
        <v>1572</v>
      </c>
      <c r="G10" s="6">
        <v>1729</v>
      </c>
      <c r="H10" s="6">
        <v>1760</v>
      </c>
      <c r="I10" s="6">
        <v>1697</v>
      </c>
      <c r="J10" s="6">
        <v>1729</v>
      </c>
      <c r="K10" s="6">
        <v>1855</v>
      </c>
      <c r="L10" s="6">
        <v>1965</v>
      </c>
      <c r="M10" s="6">
        <v>2122</v>
      </c>
    </row>
    <row r="11" spans="1:13" x14ac:dyDescent="0.25">
      <c r="A11" t="s">
        <v>116</v>
      </c>
      <c r="B11">
        <v>1000</v>
      </c>
      <c r="C11">
        <v>1500</v>
      </c>
      <c r="D11" t="s">
        <v>118</v>
      </c>
      <c r="E11" s="6">
        <v>138</v>
      </c>
      <c r="F11" s="6">
        <v>153</v>
      </c>
      <c r="G11" s="6">
        <v>169</v>
      </c>
      <c r="H11" s="6">
        <v>172</v>
      </c>
      <c r="I11" s="6">
        <v>166</v>
      </c>
      <c r="J11" s="6">
        <v>169</v>
      </c>
      <c r="K11" s="6">
        <v>181</v>
      </c>
      <c r="L11" s="6">
        <v>192</v>
      </c>
      <c r="M11" s="6">
        <v>207</v>
      </c>
    </row>
    <row r="12" spans="1:13" x14ac:dyDescent="0.25">
      <c r="A12" t="s">
        <v>116</v>
      </c>
      <c r="B12">
        <v>1500</v>
      </c>
      <c r="C12">
        <v>2000</v>
      </c>
      <c r="D12" t="s">
        <v>118</v>
      </c>
      <c r="E12" s="6">
        <v>126</v>
      </c>
      <c r="F12" s="6">
        <v>140</v>
      </c>
      <c r="G12" s="6">
        <v>153</v>
      </c>
      <c r="H12" s="6">
        <v>156</v>
      </c>
      <c r="I12" s="6">
        <v>151</v>
      </c>
      <c r="J12" s="6">
        <v>153</v>
      </c>
      <c r="K12" s="6">
        <v>165</v>
      </c>
      <c r="L12" s="6">
        <v>174</v>
      </c>
      <c r="M12" s="6">
        <v>188</v>
      </c>
    </row>
    <row r="13" spans="1:13" x14ac:dyDescent="0.25">
      <c r="A13" t="s">
        <v>116</v>
      </c>
      <c r="B13">
        <v>2000</v>
      </c>
      <c r="C13">
        <v>2500</v>
      </c>
      <c r="D13" t="s">
        <v>118</v>
      </c>
      <c r="E13" s="6">
        <v>117</v>
      </c>
      <c r="F13" s="6">
        <v>130</v>
      </c>
      <c r="G13" s="6">
        <v>143</v>
      </c>
      <c r="H13" s="6">
        <v>146</v>
      </c>
      <c r="I13" s="6">
        <v>141</v>
      </c>
      <c r="J13" s="6">
        <v>143</v>
      </c>
      <c r="K13" s="6">
        <v>154</v>
      </c>
      <c r="L13" s="6">
        <v>163</v>
      </c>
      <c r="M13" s="6">
        <v>176</v>
      </c>
    </row>
    <row r="14" spans="1:13" x14ac:dyDescent="0.25">
      <c r="A14" t="s">
        <v>116</v>
      </c>
      <c r="B14">
        <v>2500</v>
      </c>
      <c r="D14" t="s">
        <v>118</v>
      </c>
      <c r="E14" s="6">
        <v>109</v>
      </c>
      <c r="F14" s="6">
        <v>121</v>
      </c>
      <c r="G14" s="6">
        <v>133</v>
      </c>
      <c r="H14" s="6">
        <v>135</v>
      </c>
      <c r="I14" s="6">
        <v>131</v>
      </c>
      <c r="J14" s="6">
        <v>133</v>
      </c>
      <c r="K14" s="6">
        <v>143</v>
      </c>
      <c r="L14" s="6">
        <v>151</v>
      </c>
      <c r="M14" s="6">
        <v>163</v>
      </c>
    </row>
    <row r="15" spans="1:13" s="2" customFormat="1" x14ac:dyDescent="0.25">
      <c r="A15" s="2" t="s">
        <v>119</v>
      </c>
      <c r="B15" s="2"/>
      <c r="C15" s="2"/>
      <c r="D15" s="2"/>
      <c r="E15" s="9">
        <v>293</v>
      </c>
      <c r="F15" s="9">
        <v>326</v>
      </c>
      <c r="G15" s="9">
        <v>358</v>
      </c>
      <c r="H15" s="9">
        <v>365</v>
      </c>
      <c r="I15" s="9">
        <v>352</v>
      </c>
      <c r="J15" s="9">
        <v>358</v>
      </c>
      <c r="K15" s="9">
        <v>384</v>
      </c>
      <c r="L15" s="9">
        <v>407</v>
      </c>
      <c r="M15" s="9">
        <v>439</v>
      </c>
    </row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</sheetData>
  <dataValidations count="4">
    <dataValidation type="list" allowBlank="1" showErrorMessage="1" errorTitle="Not in the list" error="Use one of: KG, PALLET, LDM, TRIP, MIN" sqref="A10:A65">
      <formula1>"KG,PALLET,LDM,TRIP,MIN"</formula1>
    </dataValidation>
    <dataValidation type="list" allowBlank="1" showErrorMessage="1" errorTitle="Not in the list" error="Use one of: KG, PALLET, LDM, TRIP, MIN" sqref="A4:A65">
      <formula1>"KG,PALLET,LDM,TRIP,MIN"</formula1>
    </dataValidation>
    <dataValidation type="list" allowBlank="1" showErrorMessage="1" errorTitle="Not in the list" error="Use one of: FLAT, PER_UNIT, PER_100KG" sqref="D10:D65">
      <formula1>"FLAT,PER_UNIT,PER_100KG"</formula1>
    </dataValidation>
    <dataValidation type="list" allowBlank="1" showErrorMessage="1" errorTitle="Not in the list" error="Use one of: FLAT, PER_UNIT, PER_100KG" sqref="D4:D65">
      <formula1>"FLAT,PER_UNIT,PER_100KG"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3" customWidth="1"/>
    <col min="5" max="13" width="12" style="6" customWidth="1"/>
  </cols>
  <sheetData>
    <row r="1" spans="1:13" x14ac:dyDescent="0.25">
      <c r="A1" s="7" t="s">
        <v>122</v>
      </c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4" t="s">
        <v>111</v>
      </c>
      <c r="E2" s="6"/>
      <c r="F2" s="6"/>
      <c r="G2" s="6"/>
      <c r="H2" s="6"/>
      <c r="I2" s="6"/>
      <c r="J2" s="6"/>
      <c r="K2" s="6"/>
      <c r="L2" s="6"/>
      <c r="M2" s="6"/>
    </row>
    <row r="3" spans="1:13" s="2" customForma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8" t="s">
        <v>72</v>
      </c>
      <c r="F3" s="8" t="s">
        <v>77</v>
      </c>
      <c r="G3" s="8" t="s">
        <v>81</v>
      </c>
      <c r="H3" s="8" t="s">
        <v>85</v>
      </c>
      <c r="I3" s="8" t="s">
        <v>89</v>
      </c>
      <c r="J3" s="8" t="s">
        <v>93</v>
      </c>
      <c r="K3" s="8" t="s">
        <v>97</v>
      </c>
      <c r="L3" s="8" t="s">
        <v>101</v>
      </c>
      <c r="M3" s="8" t="s">
        <v>105</v>
      </c>
    </row>
    <row r="4" spans="1:13" x14ac:dyDescent="0.25">
      <c r="A4" t="s">
        <v>116</v>
      </c>
      <c r="B4">
        <v>0</v>
      </c>
      <c r="C4">
        <v>50</v>
      </c>
      <c r="D4" t="s">
        <v>117</v>
      </c>
      <c r="E4" s="6">
        <v>309</v>
      </c>
      <c r="F4" s="6">
        <v>343</v>
      </c>
      <c r="G4" s="6">
        <v>378</v>
      </c>
      <c r="H4" s="6">
        <v>384</v>
      </c>
      <c r="I4" s="6">
        <v>371</v>
      </c>
      <c r="J4" s="6">
        <v>378</v>
      </c>
      <c r="K4" s="6">
        <v>405</v>
      </c>
      <c r="L4" s="6">
        <v>429</v>
      </c>
      <c r="M4" s="6">
        <v>463</v>
      </c>
    </row>
    <row r="5" spans="1:13" x14ac:dyDescent="0.25">
      <c r="A5" t="s">
        <v>116</v>
      </c>
      <c r="B5">
        <v>50</v>
      </c>
      <c r="C5">
        <v>100</v>
      </c>
      <c r="D5" t="s">
        <v>117</v>
      </c>
      <c r="E5" s="6">
        <v>388</v>
      </c>
      <c r="F5" s="6">
        <v>431</v>
      </c>
      <c r="G5" s="6">
        <v>474</v>
      </c>
      <c r="H5" s="6">
        <v>483</v>
      </c>
      <c r="I5" s="6">
        <v>466</v>
      </c>
      <c r="J5" s="6">
        <v>474</v>
      </c>
      <c r="K5" s="6">
        <v>509</v>
      </c>
      <c r="L5" s="6">
        <v>539</v>
      </c>
      <c r="M5" s="6">
        <v>582</v>
      </c>
    </row>
    <row r="6" spans="1:13" x14ac:dyDescent="0.25">
      <c r="A6" t="s">
        <v>116</v>
      </c>
      <c r="B6">
        <v>100</v>
      </c>
      <c r="C6">
        <v>200</v>
      </c>
      <c r="D6" t="s">
        <v>117</v>
      </c>
      <c r="E6" s="6">
        <v>507</v>
      </c>
      <c r="F6" s="6">
        <v>563</v>
      </c>
      <c r="G6" s="6">
        <v>620</v>
      </c>
      <c r="H6" s="6">
        <v>631</v>
      </c>
      <c r="I6" s="6">
        <v>608</v>
      </c>
      <c r="J6" s="6">
        <v>620</v>
      </c>
      <c r="K6" s="6">
        <v>665</v>
      </c>
      <c r="L6" s="6">
        <v>704</v>
      </c>
      <c r="M6" s="6">
        <v>760</v>
      </c>
    </row>
    <row r="7" spans="1:13" x14ac:dyDescent="0.25">
      <c r="A7" t="s">
        <v>116</v>
      </c>
      <c r="B7">
        <v>200</v>
      </c>
      <c r="C7">
        <v>300</v>
      </c>
      <c r="D7" t="s">
        <v>117</v>
      </c>
      <c r="E7" s="6">
        <v>626</v>
      </c>
      <c r="F7" s="6">
        <v>695</v>
      </c>
      <c r="G7" s="6">
        <v>765</v>
      </c>
      <c r="H7" s="6">
        <v>779</v>
      </c>
      <c r="I7" s="6">
        <v>751</v>
      </c>
      <c r="J7" s="6">
        <v>765</v>
      </c>
      <c r="K7" s="6">
        <v>820</v>
      </c>
      <c r="L7" s="6">
        <v>869</v>
      </c>
      <c r="M7" s="6">
        <v>939</v>
      </c>
    </row>
    <row r="8" spans="1:13" x14ac:dyDescent="0.25">
      <c r="A8" t="s">
        <v>116</v>
      </c>
      <c r="B8">
        <v>300</v>
      </c>
      <c r="C8">
        <v>500</v>
      </c>
      <c r="D8" t="s">
        <v>117</v>
      </c>
      <c r="E8" s="6">
        <v>832</v>
      </c>
      <c r="F8" s="6">
        <v>924</v>
      </c>
      <c r="G8" s="6">
        <v>1016</v>
      </c>
      <c r="H8" s="6">
        <v>1035</v>
      </c>
      <c r="I8" s="6">
        <v>998</v>
      </c>
      <c r="J8" s="6">
        <v>1016</v>
      </c>
      <c r="K8" s="6">
        <v>1090</v>
      </c>
      <c r="L8" s="6">
        <v>1155</v>
      </c>
      <c r="M8" s="6">
        <v>1247</v>
      </c>
    </row>
    <row r="9" spans="1:13" x14ac:dyDescent="0.25">
      <c r="A9" t="s">
        <v>116</v>
      </c>
      <c r="B9">
        <v>500</v>
      </c>
      <c r="C9">
        <v>750</v>
      </c>
      <c r="D9" t="s">
        <v>117</v>
      </c>
      <c r="E9" s="6">
        <v>1101</v>
      </c>
      <c r="F9" s="6">
        <v>1223</v>
      </c>
      <c r="G9" s="6">
        <v>1346</v>
      </c>
      <c r="H9" s="6">
        <v>1370</v>
      </c>
      <c r="I9" s="6">
        <v>1321</v>
      </c>
      <c r="J9" s="6">
        <v>1346</v>
      </c>
      <c r="K9" s="6">
        <v>1443</v>
      </c>
      <c r="L9" s="6">
        <v>1529</v>
      </c>
      <c r="M9" s="6">
        <v>1651</v>
      </c>
    </row>
    <row r="10" spans="1:13" x14ac:dyDescent="0.25">
      <c r="A10" t="s">
        <v>116</v>
      </c>
      <c r="B10">
        <v>750</v>
      </c>
      <c r="C10">
        <v>1000</v>
      </c>
      <c r="D10" t="s">
        <v>117</v>
      </c>
      <c r="E10" s="6">
        <v>1338</v>
      </c>
      <c r="F10" s="6">
        <v>1487</v>
      </c>
      <c r="G10" s="6">
        <v>1636</v>
      </c>
      <c r="H10" s="6">
        <v>1666</v>
      </c>
      <c r="I10" s="6">
        <v>1606</v>
      </c>
      <c r="J10" s="6">
        <v>1636</v>
      </c>
      <c r="K10" s="6">
        <v>1755</v>
      </c>
      <c r="L10" s="6">
        <v>1859</v>
      </c>
      <c r="M10" s="6">
        <v>2008</v>
      </c>
    </row>
    <row r="11" spans="1:13" x14ac:dyDescent="0.25">
      <c r="A11" t="s">
        <v>116</v>
      </c>
      <c r="B11">
        <v>1000</v>
      </c>
      <c r="C11">
        <v>1500</v>
      </c>
      <c r="D11" t="s">
        <v>118</v>
      </c>
      <c r="E11" s="6">
        <v>131</v>
      </c>
      <c r="F11" s="6">
        <v>145</v>
      </c>
      <c r="G11" s="6">
        <v>160</v>
      </c>
      <c r="H11" s="6">
        <v>163</v>
      </c>
      <c r="I11" s="6">
        <v>157</v>
      </c>
      <c r="J11" s="6">
        <v>160</v>
      </c>
      <c r="K11" s="6">
        <v>171</v>
      </c>
      <c r="L11" s="6">
        <v>182</v>
      </c>
      <c r="M11" s="6">
        <v>196</v>
      </c>
    </row>
    <row r="12" spans="1:13" x14ac:dyDescent="0.25">
      <c r="A12" t="s">
        <v>116</v>
      </c>
      <c r="B12">
        <v>1500</v>
      </c>
      <c r="C12">
        <v>2000</v>
      </c>
      <c r="D12" t="s">
        <v>118</v>
      </c>
      <c r="E12" s="6">
        <v>119</v>
      </c>
      <c r="F12" s="6">
        <v>132</v>
      </c>
      <c r="G12" s="6">
        <v>145</v>
      </c>
      <c r="H12" s="6">
        <v>148</v>
      </c>
      <c r="I12" s="6">
        <v>143</v>
      </c>
      <c r="J12" s="6">
        <v>145</v>
      </c>
      <c r="K12" s="6">
        <v>156</v>
      </c>
      <c r="L12" s="6">
        <v>165</v>
      </c>
      <c r="M12" s="6">
        <v>178</v>
      </c>
    </row>
    <row r="13" spans="1:13" x14ac:dyDescent="0.25">
      <c r="A13" t="s">
        <v>116</v>
      </c>
      <c r="B13">
        <v>2000</v>
      </c>
      <c r="C13">
        <v>2500</v>
      </c>
      <c r="D13" t="s">
        <v>118</v>
      </c>
      <c r="E13" s="6">
        <v>111</v>
      </c>
      <c r="F13" s="6">
        <v>123</v>
      </c>
      <c r="G13" s="6">
        <v>136</v>
      </c>
      <c r="H13" s="6">
        <v>138</v>
      </c>
      <c r="I13" s="6">
        <v>133</v>
      </c>
      <c r="J13" s="6">
        <v>136</v>
      </c>
      <c r="K13" s="6">
        <v>145</v>
      </c>
      <c r="L13" s="6">
        <v>154</v>
      </c>
      <c r="M13" s="6">
        <v>166</v>
      </c>
    </row>
    <row r="14" spans="1:13" x14ac:dyDescent="0.25">
      <c r="A14" t="s">
        <v>116</v>
      </c>
      <c r="B14">
        <v>2500</v>
      </c>
      <c r="D14" t="s">
        <v>118</v>
      </c>
      <c r="E14" s="6">
        <v>103</v>
      </c>
      <c r="F14" s="6">
        <v>114</v>
      </c>
      <c r="G14" s="6">
        <v>126</v>
      </c>
      <c r="H14" s="6">
        <v>128</v>
      </c>
      <c r="I14" s="6">
        <v>124</v>
      </c>
      <c r="J14" s="6">
        <v>126</v>
      </c>
      <c r="K14" s="6">
        <v>135</v>
      </c>
      <c r="L14" s="6">
        <v>143</v>
      </c>
      <c r="M14" s="6">
        <v>154</v>
      </c>
    </row>
    <row r="15" spans="1:13" s="2" customFormat="1" x14ac:dyDescent="0.25">
      <c r="A15" s="2" t="s">
        <v>119</v>
      </c>
      <c r="B15" s="2"/>
      <c r="C15" s="2"/>
      <c r="D15" s="2"/>
      <c r="E15" s="9">
        <v>277</v>
      </c>
      <c r="F15" s="9">
        <v>308</v>
      </c>
      <c r="G15" s="9">
        <v>339</v>
      </c>
      <c r="H15" s="9">
        <v>345</v>
      </c>
      <c r="I15" s="9">
        <v>333</v>
      </c>
      <c r="J15" s="9">
        <v>339</v>
      </c>
      <c r="K15" s="9">
        <v>363</v>
      </c>
      <c r="L15" s="9">
        <v>385</v>
      </c>
      <c r="M15" s="9">
        <v>416</v>
      </c>
    </row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</sheetData>
  <dataValidations count="4">
    <dataValidation type="list" allowBlank="1" showErrorMessage="1" errorTitle="Not in the list" error="Use one of: KG, PALLET, LDM, TRIP, MIN" sqref="A10:A65">
      <formula1>"KG,PALLET,LDM,TRIP,MIN"</formula1>
    </dataValidation>
    <dataValidation type="list" allowBlank="1" showErrorMessage="1" errorTitle="Not in the list" error="Use one of: KG, PALLET, LDM, TRIP, MIN" sqref="A4:A65">
      <formula1>"KG,PALLET,LDM,TRIP,MIN"</formula1>
    </dataValidation>
    <dataValidation type="list" allowBlank="1" showErrorMessage="1" errorTitle="Not in the list" error="Use one of: FLAT, PER_UNIT, PER_100KG" sqref="D10:D65">
      <formula1>"FLAT,PER_UNIT,PER_100KG"</formula1>
    </dataValidation>
    <dataValidation type="list" allowBlank="1" showErrorMessage="1" errorTitle="Not in the list" error="Use one of: FLAT, PER_UNIT, PER_100KG" sqref="D4:D65">
      <formula1>"FLAT,PER_UNIT,PER_100KG"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4" width="13" customWidth="1"/>
    <col min="5" max="13" width="12" style="6" customWidth="1"/>
  </cols>
  <sheetData>
    <row r="1" spans="1:13" x14ac:dyDescent="0.25">
      <c r="A1" s="7" t="s">
        <v>123</v>
      </c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4" t="s">
        <v>111</v>
      </c>
      <c r="E2" s="6"/>
      <c r="F2" s="6"/>
      <c r="G2" s="6"/>
      <c r="H2" s="6"/>
      <c r="I2" s="6"/>
      <c r="J2" s="6"/>
      <c r="K2" s="6"/>
      <c r="L2" s="6"/>
      <c r="M2" s="6"/>
    </row>
    <row r="3" spans="1:13" s="2" customFormat="1" x14ac:dyDescent="0.25">
      <c r="A3" s="3" t="s">
        <v>112</v>
      </c>
      <c r="B3" s="3" t="s">
        <v>113</v>
      </c>
      <c r="C3" s="3" t="s">
        <v>114</v>
      </c>
      <c r="D3" s="3" t="s">
        <v>115</v>
      </c>
      <c r="E3" s="8" t="s">
        <v>72</v>
      </c>
      <c r="F3" s="8" t="s">
        <v>77</v>
      </c>
      <c r="G3" s="8" t="s">
        <v>81</v>
      </c>
      <c r="H3" s="8" t="s">
        <v>85</v>
      </c>
      <c r="I3" s="8" t="s">
        <v>89</v>
      </c>
      <c r="J3" s="8" t="s">
        <v>93</v>
      </c>
      <c r="K3" s="8" t="s">
        <v>97</v>
      </c>
      <c r="L3" s="8" t="s">
        <v>101</v>
      </c>
      <c r="M3" s="8" t="s">
        <v>105</v>
      </c>
    </row>
    <row r="4" spans="1:13" x14ac:dyDescent="0.25">
      <c r="A4" t="s">
        <v>116</v>
      </c>
      <c r="B4">
        <v>0</v>
      </c>
      <c r="C4">
        <v>50</v>
      </c>
      <c r="D4" t="s">
        <v>117</v>
      </c>
      <c r="E4" s="6">
        <v>632</v>
      </c>
      <c r="F4" s="6">
        <v>702</v>
      </c>
      <c r="G4" s="6">
        <v>772</v>
      </c>
      <c r="H4" s="6">
        <v>786</v>
      </c>
      <c r="I4" s="6">
        <v>758</v>
      </c>
      <c r="J4" s="6">
        <v>772</v>
      </c>
      <c r="K4" s="6">
        <v>828</v>
      </c>
      <c r="L4" s="6">
        <v>878</v>
      </c>
      <c r="M4" s="6">
        <v>948</v>
      </c>
    </row>
    <row r="5" spans="1:13" x14ac:dyDescent="0.25">
      <c r="A5" t="s">
        <v>116</v>
      </c>
      <c r="B5">
        <v>50</v>
      </c>
      <c r="C5">
        <v>100</v>
      </c>
      <c r="D5" t="s">
        <v>117</v>
      </c>
      <c r="E5" s="6">
        <v>794</v>
      </c>
      <c r="F5" s="6">
        <v>882</v>
      </c>
      <c r="G5" s="6">
        <v>970</v>
      </c>
      <c r="H5" s="6">
        <v>988</v>
      </c>
      <c r="I5" s="6">
        <v>953</v>
      </c>
      <c r="J5" s="6">
        <v>970</v>
      </c>
      <c r="K5" s="6">
        <v>1041</v>
      </c>
      <c r="L5" s="6">
        <v>1103</v>
      </c>
      <c r="M5" s="6">
        <v>1191</v>
      </c>
    </row>
    <row r="6" spans="1:13" x14ac:dyDescent="0.25">
      <c r="A6" t="s">
        <v>116</v>
      </c>
      <c r="B6">
        <v>100</v>
      </c>
      <c r="C6">
        <v>200</v>
      </c>
      <c r="D6" t="s">
        <v>117</v>
      </c>
      <c r="E6" s="6">
        <v>1037</v>
      </c>
      <c r="F6" s="6">
        <v>1152</v>
      </c>
      <c r="G6" s="6">
        <v>1267</v>
      </c>
      <c r="H6" s="6">
        <v>1290</v>
      </c>
      <c r="I6" s="6">
        <v>1244</v>
      </c>
      <c r="J6" s="6">
        <v>1267</v>
      </c>
      <c r="K6" s="6">
        <v>1359</v>
      </c>
      <c r="L6" s="6">
        <v>1440</v>
      </c>
      <c r="M6" s="6">
        <v>1555</v>
      </c>
    </row>
    <row r="7" spans="1:13" x14ac:dyDescent="0.25">
      <c r="A7" t="s">
        <v>116</v>
      </c>
      <c r="B7">
        <v>200</v>
      </c>
      <c r="C7">
        <v>300</v>
      </c>
      <c r="D7" t="s">
        <v>117</v>
      </c>
      <c r="E7" s="6">
        <v>1280</v>
      </c>
      <c r="F7" s="6">
        <v>1422</v>
      </c>
      <c r="G7" s="6">
        <v>1564</v>
      </c>
      <c r="H7" s="6">
        <v>1593</v>
      </c>
      <c r="I7" s="6">
        <v>1536</v>
      </c>
      <c r="J7" s="6">
        <v>1564</v>
      </c>
      <c r="K7" s="6">
        <v>1678</v>
      </c>
      <c r="L7" s="6">
        <v>1778</v>
      </c>
      <c r="M7" s="6">
        <v>1920</v>
      </c>
    </row>
    <row r="8" spans="1:13" x14ac:dyDescent="0.25">
      <c r="A8" t="s">
        <v>116</v>
      </c>
      <c r="B8">
        <v>300</v>
      </c>
      <c r="C8">
        <v>500</v>
      </c>
      <c r="D8" t="s">
        <v>117</v>
      </c>
      <c r="E8" s="6">
        <v>1701</v>
      </c>
      <c r="F8" s="6">
        <v>1890</v>
      </c>
      <c r="G8" s="6">
        <v>2079</v>
      </c>
      <c r="H8" s="6">
        <v>2117</v>
      </c>
      <c r="I8" s="6">
        <v>2041</v>
      </c>
      <c r="J8" s="6">
        <v>2079</v>
      </c>
      <c r="K8" s="6">
        <v>2230</v>
      </c>
      <c r="L8" s="6">
        <v>2363</v>
      </c>
      <c r="M8" s="6">
        <v>2552</v>
      </c>
    </row>
    <row r="9" spans="1:13" x14ac:dyDescent="0.25">
      <c r="A9" t="s">
        <v>116</v>
      </c>
      <c r="B9">
        <v>500</v>
      </c>
      <c r="C9">
        <v>750</v>
      </c>
      <c r="D9" t="s">
        <v>117</v>
      </c>
      <c r="E9" s="6">
        <v>2252</v>
      </c>
      <c r="F9" s="6">
        <v>2502</v>
      </c>
      <c r="G9" s="6">
        <v>2752</v>
      </c>
      <c r="H9" s="6">
        <v>2802</v>
      </c>
      <c r="I9" s="6">
        <v>2702</v>
      </c>
      <c r="J9" s="6">
        <v>2752</v>
      </c>
      <c r="K9" s="6">
        <v>2952</v>
      </c>
      <c r="L9" s="6">
        <v>3128</v>
      </c>
      <c r="M9" s="6">
        <v>3378</v>
      </c>
    </row>
    <row r="10" spans="1:13" x14ac:dyDescent="0.25">
      <c r="A10" t="s">
        <v>116</v>
      </c>
      <c r="B10">
        <v>750</v>
      </c>
      <c r="C10">
        <v>1000</v>
      </c>
      <c r="D10" t="s">
        <v>117</v>
      </c>
      <c r="E10" s="6">
        <v>2738</v>
      </c>
      <c r="F10" s="6">
        <v>3042</v>
      </c>
      <c r="G10" s="6">
        <v>3346</v>
      </c>
      <c r="H10" s="6">
        <v>3407</v>
      </c>
      <c r="I10" s="6">
        <v>3285</v>
      </c>
      <c r="J10" s="6">
        <v>3346</v>
      </c>
      <c r="K10" s="6">
        <v>3590</v>
      </c>
      <c r="L10" s="6">
        <v>3803</v>
      </c>
      <c r="M10" s="6">
        <v>4107</v>
      </c>
    </row>
    <row r="11" spans="1:13" s="2" customFormat="1" x14ac:dyDescent="0.25">
      <c r="A11" s="2" t="s">
        <v>119</v>
      </c>
      <c r="B11" s="2"/>
      <c r="C11" s="2"/>
      <c r="D11" s="2"/>
      <c r="E11" s="9">
        <v>567</v>
      </c>
      <c r="F11" s="9">
        <v>630</v>
      </c>
      <c r="G11" s="9">
        <v>693</v>
      </c>
      <c r="H11" s="9">
        <v>706</v>
      </c>
      <c r="I11" s="9">
        <v>680</v>
      </c>
      <c r="J11" s="9">
        <v>693</v>
      </c>
      <c r="K11" s="9">
        <v>743</v>
      </c>
      <c r="L11" s="9">
        <v>788</v>
      </c>
      <c r="M11" s="9">
        <v>851</v>
      </c>
    </row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</sheetData>
  <dataValidations count="4">
    <dataValidation type="list" allowBlank="1" showErrorMessage="1" errorTitle="Not in the list" error="Use one of: KG, PALLET, LDM, TRIP, MIN" sqref="A10:A61">
      <formula1>"KG,PALLET,LDM,TRIP,MIN"</formula1>
    </dataValidation>
    <dataValidation type="list" allowBlank="1" showErrorMessage="1" errorTitle="Not in the list" error="Use one of: KG, PALLET, LDM, TRIP, MIN" sqref="A4:A61">
      <formula1>"KG,PALLET,LDM,TRIP,MIN"</formula1>
    </dataValidation>
    <dataValidation type="list" allowBlank="1" showErrorMessage="1" errorTitle="Not in the list" error="Use one of: FLAT, PER_UNIT, PER_100KG" sqref="D10:D61">
      <formula1>"FLAT,PER_UNIT,PER_100KG"</formula1>
    </dataValidation>
    <dataValidation type="list" allowBlank="1" showErrorMessage="1" errorTitle="Not in the list" error="Use one of: FLAT, PER_UNIT, PER_100KG" sqref="D4:D61">
      <formula1>"FLAT,PER_UNIT,PER_100KG"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0" customWidth="1"/>
    <col min="4" max="4" width="11" customWidth="1"/>
    <col min="5" max="5" width="24" customWidth="1"/>
  </cols>
  <sheetData>
    <row r="1" spans="1:5" s="2" customFormat="1" x14ac:dyDescent="0.25">
      <c r="A1" s="3" t="s">
        <v>124</v>
      </c>
      <c r="B1" s="3" t="s">
        <v>125</v>
      </c>
      <c r="C1" s="3" t="s">
        <v>35</v>
      </c>
      <c r="D1" s="3" t="s">
        <v>126</v>
      </c>
      <c r="E1" s="3" t="s">
        <v>127</v>
      </c>
    </row>
    <row r="2" spans="1:5" x14ac:dyDescent="0.25">
      <c r="A2" t="s">
        <v>128</v>
      </c>
      <c r="B2" t="s">
        <v>129</v>
      </c>
      <c r="C2">
        <v>0</v>
      </c>
      <c r="E2" t="s">
        <v>76</v>
      </c>
    </row>
    <row r="3" spans="1:5" x14ac:dyDescent="0.25">
      <c r="A3" t="s">
        <v>130</v>
      </c>
      <c r="B3" t="s">
        <v>117</v>
      </c>
      <c r="C3">
        <v>350</v>
      </c>
      <c r="E3" t="s">
        <v>76</v>
      </c>
    </row>
    <row r="4" spans="1:5" x14ac:dyDescent="0.25">
      <c r="A4" t="s">
        <v>131</v>
      </c>
      <c r="B4" t="s">
        <v>117</v>
      </c>
      <c r="C4">
        <v>450</v>
      </c>
      <c r="E4" t="s">
        <v>76</v>
      </c>
    </row>
    <row r="5" spans="1:5" x14ac:dyDescent="0.25">
      <c r="A5" t="s">
        <v>132</v>
      </c>
      <c r="B5" t="s">
        <v>117</v>
      </c>
      <c r="C5">
        <v>90</v>
      </c>
      <c r="E5" t="s">
        <v>76</v>
      </c>
    </row>
    <row r="6" spans="1:5" x14ac:dyDescent="0.25">
      <c r="A6" t="s">
        <v>133</v>
      </c>
      <c r="B6" t="s">
        <v>117</v>
      </c>
      <c r="C6">
        <v>150</v>
      </c>
      <c r="E6" t="s">
        <v>76</v>
      </c>
    </row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</sheetData>
  <dataValidations count="6">
    <dataValidation type="list" allowBlank="1" showErrorMessage="1" errorTitle="Not in the list" error="Use one of: FUEL, TOLL, ADR, TAIL_LIFT, AVIZACE, TIME_WINDOW, B2C, WAITING_TIME, REDELIVERY, INSURANCE, REMOTE_AREA, NON_STACKABLE" sqref="A10:A56">
      <formula1>"FUEL,TOLL,ADR,TAIL_LIFT,AVIZACE,TIME_WINDOW,B2C,WAITING_TIME,REDELIVERY,INSURANCE,REMOTE_AREA,NON_STACKABLE"</formula1>
    </dataValidation>
    <dataValidation type="list" allowBlank="1" showErrorMessage="1" errorTitle="Not in the list" error="Use one of: FUEL, TOLL, ADR, TAIL_LIFT, AVIZACE, TIME_WINDOW, B2C, WAITING_TIME, REDELIVERY, INSURANCE, REMOTE_AREA, NON_STACKABLE" sqref="A2:A56">
      <formula1>"FUEL,TOLL,ADR,TAIL_LIFT,AVIZACE,TIME_WINDOW,B2C,WAITING_TIME,REDELIVERY,INSURANCE,REMOTE_AREA,NON_STACKABLE"</formula1>
    </dataValidation>
    <dataValidation type="list" allowBlank="1" showErrorMessage="1" errorTitle="Not in the list" error="Use one of: PCT, FLAT, PER_KG, PER_PALLET, PER_HOUR, PCT_OF_VALUE, FUEL_INDEX" sqref="B10:B56">
      <formula1>"PCT,FLAT,PER_KG,PER_PALLET,PER_HOUR,PCT_OF_VALUE,FUEL_INDEX"</formula1>
    </dataValidation>
    <dataValidation type="list" allowBlank="1" showErrorMessage="1" errorTitle="Not in the list" error="Use one of: PCT, FLAT, PER_KG, PER_PALLET, PER_HOUR, PCT_OF_VALUE, FUEL_INDEX" sqref="B2:B56">
      <formula1>"PCT,FLAT,PER_KG,PER_PALLET,PER_HOUR,PCT_OF_VALUE,FUEL_INDEX"</formula1>
    </dataValidation>
    <dataValidation type="list" allowBlank="1" showErrorMessage="1" errorTitle="Not in the list" error="Use one of: Y, N" sqref="E10:E56">
      <formula1>"Y,N"</formula1>
    </dataValidation>
    <dataValidation type="list" allowBlank="1" showErrorMessage="1" errorTitle="Not in the list" error="Use one of: Y, N" sqref="E2:E56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Meta</vt:lpstr>
      <vt:lpstr>Zones</vt:lpstr>
      <vt:lpstr>D1</vt:lpstr>
      <vt:lpstr>D2</vt:lpstr>
      <vt:lpstr>D3</vt:lpstr>
      <vt:lpstr>D4</vt:lpstr>
      <vt:lpstr>EXP_1000</vt:lpstr>
      <vt:lpstr>Surcharges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Shipment Tracker</dc:creator>
  <dc:title/>
  <dc:subject/>
  <dc:description/>
  <cp:keywords/>
  <cp:category/>
  <cp:lastModifiedBy>Unknown</cp:lastModifiedBy>
  <dcterms:created xsi:type="dcterms:W3CDTF">2026-10-15T10:48:48Z</dcterms:created>
  <dcterms:modified xsi:type="dcterms:W3CDTF">2026-10-15T10:48:48Z</dcterms:modified>
</cp:coreProperties>
</file>